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end_Data" sheetId="1" r:id="rId1"/>
    <sheet name="Master Dashboard" sheetId="2" r:id="rId2"/>
  </sheets>
  <calcPr calcId="124519" fullCalcOnLoad="1"/>
</workbook>
</file>

<file path=xl/sharedStrings.xml><?xml version="1.0" encoding="utf-8"?>
<sst xmlns="http://schemas.openxmlformats.org/spreadsheetml/2006/main" count="48" uniqueCount="44">
  <si>
    <t>Taluka</t>
  </si>
  <si>
    <t>Count</t>
  </si>
  <si>
    <t>Cumulative %</t>
  </si>
  <si>
    <t>Karveer</t>
  </si>
  <si>
    <t>Radhanagari</t>
  </si>
  <si>
    <t>Kagal</t>
  </si>
  <si>
    <t>Hatkanangale</t>
  </si>
  <si>
    <t>Bhudargad</t>
  </si>
  <si>
    <t>Karnatak</t>
  </si>
  <si>
    <t>Goa</t>
  </si>
  <si>
    <t>Panhala</t>
  </si>
  <si>
    <t>Chandgad</t>
  </si>
  <si>
    <t>Month/Status</t>
  </si>
  <si>
    <t>Sales/AMC Value</t>
  </si>
  <si>
    <t>Profit</t>
  </si>
  <si>
    <t>0</t>
  </si>
  <si>
    <t>1/04/</t>
  </si>
  <si>
    <t>27/03/</t>
  </si>
  <si>
    <t>Ap[ril</t>
  </si>
  <si>
    <t>April</t>
  </si>
  <si>
    <t>March</t>
  </si>
  <si>
    <t>May</t>
  </si>
  <si>
    <t>Pending</t>
  </si>
  <si>
    <t>Unknown</t>
  </si>
  <si>
    <t>april</t>
  </si>
  <si>
    <t>Sanstha Name</t>
  </si>
  <si>
    <t>Pandurang Walva</t>
  </si>
  <si>
    <t>Yashwant Sarud</t>
  </si>
  <si>
    <t>A.G.Patil Walva</t>
  </si>
  <si>
    <t>Bajarbhogaon</t>
  </si>
  <si>
    <t>Bidri</t>
  </si>
  <si>
    <t>Bhogavati Rashiwade</t>
  </si>
  <si>
    <t>Jotirling Chandre</t>
  </si>
  <si>
    <t>Mahalaxmi Chuye</t>
  </si>
  <si>
    <t>Shahu Kembali</t>
  </si>
  <si>
    <t>Category</t>
  </si>
  <si>
    <t>Amount</t>
  </si>
  <si>
    <t>Overall Profit</t>
  </si>
  <si>
    <t>Overall Loss (Pending)</t>
  </si>
  <si>
    <t>PREMIUM EXECUTIVE DASHBOARD</t>
  </si>
  <si>
    <t>Total Sales / AMC</t>
  </si>
  <si>
    <t>Overall Loss</t>
  </si>
  <si>
    <t>Total Dairies</t>
  </si>
  <si>
    <t>Top Taluka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</si>
</sst>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E396"/>
      <name val="Calibri"/>
      <family val="2"/>
      <scheme val="minor"/>
    </font>
    <font>
      <b/>
      <sz val="11"/>
      <color rgb="FFA0AAB2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222C"/>
        <bgColor indexed="64"/>
      </patternFill>
    </fill>
    <fill>
      <patternFill patternType="solid">
        <fgColor rgb="FF24303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A4B5C"/>
      </left>
      <right style="thin">
        <color rgb="FF3A4B5C"/>
      </right>
      <top style="thin">
        <color rgb="FF3A4B5C"/>
      </top>
      <bottom/>
      <diagonal/>
    </border>
    <border>
      <left style="thin">
        <color rgb="FF3A4B5C"/>
      </left>
      <right style="thin">
        <color rgb="FF3A4B5C"/>
      </right>
      <top/>
      <bottom style="thin">
        <color rgb="FF3A4B5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Overall Profit vs Loss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E396"/>
              </a:solidFill>
            </c:spPr>
          </c:dPt>
          <c:dPt>
            <c:idx val="1"/>
            <c:spPr>
              <a:solidFill>
                <a:srgbClr val="FF4560"/>
              </a:solidFill>
            </c:spPr>
          </c:dPt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  <c:showPercent val="1"/>
          </c:dLbls>
          <c:cat>
            <c:strRef>
              <c:f>Backend_Data!$M$2:$M$3</c:f>
              <c:strCache>
                <c:ptCount val="2"/>
                <c:pt idx="0">
                  <c:v>Overall Profit</c:v>
                </c:pt>
                <c:pt idx="1">
                  <c:v>Overall Loss (Pending)</c:v>
                </c:pt>
              </c:strCache>
            </c:strRef>
          </c:cat>
          <c:val>
            <c:numRef>
              <c:f>Backend_Data!$N$2:$N$3</c:f>
              <c:numCache>
                <c:formatCode>General</c:formatCode>
                <c:ptCount val="2"/>
                <c:pt idx="0">
                  <c:v>783425</c:v>
                </c:pt>
                <c:pt idx="1">
                  <c:v>133273</c:v>
                </c:pt>
              </c:numCache>
            </c:numRef>
          </c:val>
        </c:ser>
        <c:firstSliceAng val="0"/>
      </c:pieChart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 rtl="0"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Proportion of Dairies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Backend_Data!$A$2:$A$10</c:f>
              <c:strCache>
                <c:ptCount val="9"/>
                <c:pt idx="0">
                  <c:v>Karveer</c:v>
                </c:pt>
                <c:pt idx="1">
                  <c:v>Radhanagari</c:v>
                </c:pt>
                <c:pt idx="2">
                  <c:v>Kagal</c:v>
                </c:pt>
                <c:pt idx="3">
                  <c:v>Hatkanangale</c:v>
                </c:pt>
                <c:pt idx="4">
                  <c:v>Bhudargad</c:v>
                </c:pt>
                <c:pt idx="5">
                  <c:v>Karnatak</c:v>
                </c:pt>
                <c:pt idx="6">
                  <c:v>Goa</c:v>
                </c:pt>
                <c:pt idx="7">
                  <c:v>Panhala</c:v>
                </c:pt>
                <c:pt idx="8">
                  <c:v>Chandgad</c:v>
                </c:pt>
              </c:strCache>
            </c:strRef>
          </c:cat>
          <c:val>
            <c:numRef>
              <c:f>Backend_Data!$B$2:$B$10</c:f>
              <c:numCache>
                <c:formatCode>General</c:formatCode>
                <c:ptCount val="9"/>
                <c:pt idx="0">
                  <c:v>859</c:v>
                </c:pt>
                <c:pt idx="1">
                  <c:v>166</c:v>
                </c:pt>
                <c:pt idx="2">
                  <c:v>110</c:v>
                </c:pt>
                <c:pt idx="3">
                  <c:v>58</c:v>
                </c:pt>
                <c:pt idx="4">
                  <c:v>47</c:v>
                </c:pt>
                <c:pt idx="5">
                  <c:v>41</c:v>
                </c:pt>
                <c:pt idx="6">
                  <c:v>31</c:v>
                </c:pt>
                <c:pt idx="7">
                  <c:v>23</c:v>
                </c:pt>
                <c:pt idx="8">
                  <c:v>22</c:v>
                </c:pt>
              </c:numCache>
            </c:numRef>
          </c:val>
        </c:ser>
        <c:firstSliceAng val="0"/>
      </c:pieChart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 rtl="0"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Sales &amp; Profit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008FFB"/>
            </a:solidFill>
          </c:spPr>
          <c:cat>
            <c:strRef>
              <c:f>Backend_Data!$E$2:$E$11</c:f>
              <c:strCache>
                <c:ptCount val="10"/>
                <c:pt idx="0">
                  <c:v>0</c:v>
                </c:pt>
                <c:pt idx="1">
                  <c:v>1/04/</c:v>
                </c:pt>
                <c:pt idx="2">
                  <c:v>27/03/</c:v>
                </c:pt>
                <c:pt idx="3">
                  <c:v>Ap[ril</c:v>
                </c:pt>
                <c:pt idx="4">
                  <c:v>April</c:v>
                </c:pt>
                <c:pt idx="5">
                  <c:v>March</c:v>
                </c:pt>
                <c:pt idx="6">
                  <c:v>May</c:v>
                </c:pt>
                <c:pt idx="7">
                  <c:v>Pending</c:v>
                </c:pt>
                <c:pt idx="8">
                  <c:v>Unknown</c:v>
                </c:pt>
                <c:pt idx="9">
                  <c:v>april</c:v>
                </c:pt>
              </c:strCache>
            </c:strRef>
          </c:cat>
          <c:val>
            <c:numRef>
              <c:f>Backend_Data!$F$2:$F$11</c:f>
              <c:numCache>
                <c:formatCode>General</c:formatCode>
                <c:ptCount val="10"/>
                <c:pt idx="0">
                  <c:v>0</c:v>
                </c:pt>
                <c:pt idx="1">
                  <c:v>5500</c:v>
                </c:pt>
                <c:pt idx="2">
                  <c:v>2500</c:v>
                </c:pt>
                <c:pt idx="3">
                  <c:v>4000</c:v>
                </c:pt>
                <c:pt idx="4">
                  <c:v>21500</c:v>
                </c:pt>
                <c:pt idx="5">
                  <c:v>140700</c:v>
                </c:pt>
                <c:pt idx="6">
                  <c:v>12500</c:v>
                </c:pt>
                <c:pt idx="7">
                  <c:v>85400</c:v>
                </c:pt>
                <c:pt idx="8">
                  <c:v>641598</c:v>
                </c:pt>
                <c:pt idx="9">
                  <c:v>3000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00E396"/>
            </a:solidFill>
          </c:spPr>
          <c:cat>
            <c:strRef>
              <c:f>Backend_Data!$E$2:$E$11</c:f>
              <c:strCache>
                <c:ptCount val="10"/>
                <c:pt idx="0">
                  <c:v>0</c:v>
                </c:pt>
                <c:pt idx="1">
                  <c:v>1/04/</c:v>
                </c:pt>
                <c:pt idx="2">
                  <c:v>27/03/</c:v>
                </c:pt>
                <c:pt idx="3">
                  <c:v>Ap[ril</c:v>
                </c:pt>
                <c:pt idx="4">
                  <c:v>April</c:v>
                </c:pt>
                <c:pt idx="5">
                  <c:v>March</c:v>
                </c:pt>
                <c:pt idx="6">
                  <c:v>May</c:v>
                </c:pt>
                <c:pt idx="7">
                  <c:v>Pending</c:v>
                </c:pt>
                <c:pt idx="8">
                  <c:v>Unknown</c:v>
                </c:pt>
                <c:pt idx="9">
                  <c:v>april</c:v>
                </c:pt>
              </c:strCache>
            </c:strRef>
          </c:cat>
          <c:val>
            <c:numRef>
              <c:f>Backend_Data!$G$2:$G$11</c:f>
              <c:numCache>
                <c:formatCode>General</c:formatCode>
                <c:ptCount val="10"/>
                <c:pt idx="0">
                  <c:v>-400</c:v>
                </c:pt>
                <c:pt idx="1">
                  <c:v>5500</c:v>
                </c:pt>
                <c:pt idx="2">
                  <c:v>2500</c:v>
                </c:pt>
                <c:pt idx="3">
                  <c:v>4000</c:v>
                </c:pt>
                <c:pt idx="4">
                  <c:v>21500</c:v>
                </c:pt>
                <c:pt idx="5">
                  <c:v>133700</c:v>
                </c:pt>
                <c:pt idx="6">
                  <c:v>7500</c:v>
                </c:pt>
                <c:pt idx="7">
                  <c:v>85400</c:v>
                </c:pt>
                <c:pt idx="8">
                  <c:v>523725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3A4B5C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Total Dairies by Taluka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FEB019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Backend_Data!$A$2:$A$10</c:f>
              <c:strCache>
                <c:ptCount val="9"/>
                <c:pt idx="0">
                  <c:v>Karveer</c:v>
                </c:pt>
                <c:pt idx="1">
                  <c:v>Radhanagari</c:v>
                </c:pt>
                <c:pt idx="2">
                  <c:v>Kagal</c:v>
                </c:pt>
                <c:pt idx="3">
                  <c:v>Hatkanangale</c:v>
                </c:pt>
                <c:pt idx="4">
                  <c:v>Bhudargad</c:v>
                </c:pt>
                <c:pt idx="5">
                  <c:v>Karnatak</c:v>
                </c:pt>
                <c:pt idx="6">
                  <c:v>Goa</c:v>
                </c:pt>
                <c:pt idx="7">
                  <c:v>Panhala</c:v>
                </c:pt>
                <c:pt idx="8">
                  <c:v>Chandgad</c:v>
                </c:pt>
              </c:strCache>
            </c:strRef>
          </c:cat>
          <c:val>
            <c:numRef>
              <c:f>Backend_Data!$B$2:$B$10</c:f>
              <c:numCache>
                <c:formatCode>General</c:formatCode>
                <c:ptCount val="9"/>
                <c:pt idx="0">
                  <c:v>859</c:v>
                </c:pt>
                <c:pt idx="1">
                  <c:v>166</c:v>
                </c:pt>
                <c:pt idx="2">
                  <c:v>110</c:v>
                </c:pt>
                <c:pt idx="3">
                  <c:v>58</c:v>
                </c:pt>
                <c:pt idx="4">
                  <c:v>47</c:v>
                </c:pt>
                <c:pt idx="5">
                  <c:v>41</c:v>
                </c:pt>
                <c:pt idx="6">
                  <c:v>31</c:v>
                </c:pt>
                <c:pt idx="7">
                  <c:v>23</c:v>
                </c:pt>
                <c:pt idx="8">
                  <c:v>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3A4B5C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Top 10 Sansthas by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08FFB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Backend_Data!$I$2:$I$11</c:f>
              <c:strCache>
                <c:ptCount val="10"/>
                <c:pt idx="0">
                  <c:v>Pandurang Walva</c:v>
                </c:pt>
                <c:pt idx="2">
                  <c:v>Yashwant Sarud</c:v>
                </c:pt>
                <c:pt idx="3">
                  <c:v>A.G.Patil Walva</c:v>
                </c:pt>
                <c:pt idx="4">
                  <c:v>Bajarbhogaon</c:v>
                </c:pt>
                <c:pt idx="5">
                  <c:v>Bidri</c:v>
                </c:pt>
                <c:pt idx="6">
                  <c:v>Bhogavati Rashiwade</c:v>
                </c:pt>
                <c:pt idx="7">
                  <c:v>Jotirling Chandre</c:v>
                </c:pt>
                <c:pt idx="8">
                  <c:v>Mahalaxmi Chuye</c:v>
                </c:pt>
                <c:pt idx="9">
                  <c:v>Shahu Kembali</c:v>
                </c:pt>
              </c:strCache>
            </c:strRef>
          </c:cat>
          <c:val>
            <c:numRef>
              <c:f>Backend_Data!$J$2:$J$11</c:f>
              <c:numCache>
                <c:formatCode>General</c:formatCode>
                <c:ptCount val="10"/>
                <c:pt idx="0">
                  <c:v>6000</c:v>
                </c:pt>
                <c:pt idx="1">
                  <c:v>6000</c:v>
                </c:pt>
                <c:pt idx="2">
                  <c:v>7000</c:v>
                </c:pt>
                <c:pt idx="3">
                  <c:v>27000</c:v>
                </c:pt>
                <c:pt idx="4">
                  <c:v>30000</c:v>
                </c:pt>
                <c:pt idx="5">
                  <c:v>69600</c:v>
                </c:pt>
                <c:pt idx="6">
                  <c:v>102000</c:v>
                </c:pt>
                <c:pt idx="7">
                  <c:v>102000</c:v>
                </c:pt>
                <c:pt idx="8">
                  <c:v>144000</c:v>
                </c:pt>
                <c:pt idx="9">
                  <c:v>144000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majorGridlines>
          <c:spPr>
            <a:ln>
              <a:solidFill>
                <a:srgbClr val="3A4B5C"/>
              </a:solidFill>
            </a:ln>
          </c:spPr>
        </c:majorGridlines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r>
              <a:rPr lang="en-US" baseline="0">
                <a:solidFill>
                  <a:srgbClr val="FFFFFF"/>
                </a:solidFill>
              </a:rPr>
              <a:t>Cumulative % of Dairies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38100">
              <a:solidFill>
                <a:srgbClr val="775DD0"/>
              </a:solidFill>
            </a:ln>
          </c:spPr>
          <c:marker>
            <c:symbol val="none"/>
          </c:marker>
          <c:cat>
            <c:strRef>
              <c:f>Backend_Data!$A$2:$A$10</c:f>
              <c:strCache>
                <c:ptCount val="9"/>
                <c:pt idx="0">
                  <c:v>Karveer</c:v>
                </c:pt>
                <c:pt idx="1">
                  <c:v>Radhanagari</c:v>
                </c:pt>
                <c:pt idx="2">
                  <c:v>Kagal</c:v>
                </c:pt>
                <c:pt idx="3">
                  <c:v>Hatkanangale</c:v>
                </c:pt>
                <c:pt idx="4">
                  <c:v>Bhudargad</c:v>
                </c:pt>
                <c:pt idx="5">
                  <c:v>Karnatak</c:v>
                </c:pt>
                <c:pt idx="6">
                  <c:v>Goa</c:v>
                </c:pt>
                <c:pt idx="7">
                  <c:v>Panhala</c:v>
                </c:pt>
                <c:pt idx="8">
                  <c:v>Chandgad</c:v>
                </c:pt>
              </c:strCache>
            </c:strRef>
          </c:cat>
          <c:val>
            <c:numRef>
              <c:f>Backend_Data!$C$2:$C$10</c:f>
              <c:numCache>
                <c:formatCode>General</c:formatCode>
                <c:ptCount val="9"/>
                <c:pt idx="0">
                  <c:v>63.30140014738394</c:v>
                </c:pt>
                <c:pt idx="1">
                  <c:v>75.53426676492262</c:v>
                </c:pt>
                <c:pt idx="2">
                  <c:v>83.64038319823139</c:v>
                </c:pt>
                <c:pt idx="3">
                  <c:v>87.91451731761238</c:v>
                </c:pt>
                <c:pt idx="4">
                  <c:v>91.3780397936625</c:v>
                </c:pt>
                <c:pt idx="5">
                  <c:v>94.39941046425939</c:v>
                </c:pt>
                <c:pt idx="6">
                  <c:v>96.68386145910097</c:v>
                </c:pt>
                <c:pt idx="7">
                  <c:v>98.37877671333824</c:v>
                </c:pt>
                <c:pt idx="8">
                  <c:v>100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3A4B5C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3A4B5C"/>
            </a:solidFill>
          </a:ln>
        </c:spPr>
        <c:txPr>
          <a:bodyPr/>
          <a:lstStyle/>
          <a:p>
            <a:pPr>
              <a:defRPr baseline="0">
                <a:solidFill>
                  <a:srgbClr val="A0AAB2"/>
                </a:solidFill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24303F"/>
        </a:solidFill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24303F"/>
    </a:solidFill>
    <a:ln>
      <a:solidFill>
        <a:srgbClr val="3A4B5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381000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10</xdr:col>
      <xdr:colOff>381000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5</xdr:col>
      <xdr:colOff>381000</xdr:colOff>
      <xdr:row>36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10</xdr:col>
      <xdr:colOff>381000</xdr:colOff>
      <xdr:row>36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381000</xdr:colOff>
      <xdr:row>51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10</xdr:col>
      <xdr:colOff>381000</xdr:colOff>
      <xdr:row>51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E1" s="1" t="s">
        <v>12</v>
      </c>
      <c r="F1" s="1" t="s">
        <v>13</v>
      </c>
      <c r="G1" s="1" t="s">
        <v>14</v>
      </c>
      <c r="I1" s="1" t="s">
        <v>25</v>
      </c>
      <c r="J1" s="1" t="s">
        <v>13</v>
      </c>
      <c r="K1" s="1" t="s">
        <v>14</v>
      </c>
      <c r="M1" s="1" t="s">
        <v>35</v>
      </c>
      <c r="N1" s="1" t="s">
        <v>36</v>
      </c>
    </row>
    <row r="2" spans="1:14">
      <c r="A2" t="s">
        <v>3</v>
      </c>
      <c r="B2">
        <v>859</v>
      </c>
      <c r="C2">
        <v>63.30140014738394</v>
      </c>
      <c r="E2" t="s">
        <v>15</v>
      </c>
      <c r="F2">
        <v>0</v>
      </c>
      <c r="G2">
        <v>-400</v>
      </c>
      <c r="I2" t="s">
        <v>26</v>
      </c>
      <c r="J2">
        <v>6000</v>
      </c>
      <c r="K2">
        <v>0</v>
      </c>
      <c r="M2" t="s">
        <v>37</v>
      </c>
      <c r="N2">
        <v>783425</v>
      </c>
    </row>
    <row r="3" spans="1:14">
      <c r="A3" t="s">
        <v>4</v>
      </c>
      <c r="B3">
        <v>166</v>
      </c>
      <c r="C3">
        <v>75.53426676492262</v>
      </c>
      <c r="E3" t="s">
        <v>16</v>
      </c>
      <c r="F3">
        <v>5500</v>
      </c>
      <c r="G3">
        <v>5500</v>
      </c>
      <c r="J3">
        <v>6000</v>
      </c>
      <c r="K3">
        <v>6000</v>
      </c>
      <c r="M3" t="s">
        <v>38</v>
      </c>
      <c r="N3">
        <v>133273</v>
      </c>
    </row>
    <row r="4" spans="1:14">
      <c r="A4" t="s">
        <v>5</v>
      </c>
      <c r="B4">
        <v>110</v>
      </c>
      <c r="C4">
        <v>83.64038319823139</v>
      </c>
      <c r="E4" t="s">
        <v>17</v>
      </c>
      <c r="F4">
        <v>2500</v>
      </c>
      <c r="G4">
        <v>2500</v>
      </c>
      <c r="I4" t="s">
        <v>27</v>
      </c>
      <c r="J4">
        <v>7000</v>
      </c>
      <c r="K4">
        <v>7000</v>
      </c>
    </row>
    <row r="5" spans="1:14">
      <c r="A5" t="s">
        <v>6</v>
      </c>
      <c r="B5">
        <v>58</v>
      </c>
      <c r="C5">
        <v>87.91451731761238</v>
      </c>
      <c r="E5" t="s">
        <v>18</v>
      </c>
      <c r="F5">
        <v>4000</v>
      </c>
      <c r="G5">
        <v>4000</v>
      </c>
      <c r="I5" t="s">
        <v>28</v>
      </c>
      <c r="J5">
        <v>27000</v>
      </c>
      <c r="K5">
        <v>0</v>
      </c>
    </row>
    <row r="6" spans="1:14">
      <c r="A6" t="s">
        <v>7</v>
      </c>
      <c r="B6">
        <v>47</v>
      </c>
      <c r="C6">
        <v>91.3780397936625</v>
      </c>
      <c r="E6" t="s">
        <v>19</v>
      </c>
      <c r="F6">
        <v>21500</v>
      </c>
      <c r="G6">
        <v>21500</v>
      </c>
      <c r="I6" t="s">
        <v>29</v>
      </c>
      <c r="J6">
        <v>30000</v>
      </c>
      <c r="K6">
        <v>30000</v>
      </c>
    </row>
    <row r="7" spans="1:14">
      <c r="A7" t="s">
        <v>8</v>
      </c>
      <c r="B7">
        <v>41</v>
      </c>
      <c r="C7">
        <v>94.39941046425939</v>
      </c>
      <c r="E7" t="s">
        <v>20</v>
      </c>
      <c r="F7">
        <v>140700</v>
      </c>
      <c r="G7">
        <v>133700</v>
      </c>
      <c r="I7" t="s">
        <v>30</v>
      </c>
      <c r="J7">
        <v>69600</v>
      </c>
      <c r="K7">
        <v>63800</v>
      </c>
    </row>
    <row r="8" spans="1:14">
      <c r="A8" t="s">
        <v>9</v>
      </c>
      <c r="B8">
        <v>31</v>
      </c>
      <c r="C8">
        <v>96.68386145910097</v>
      </c>
      <c r="E8" t="s">
        <v>21</v>
      </c>
      <c r="F8">
        <v>12500</v>
      </c>
      <c r="G8">
        <v>7500</v>
      </c>
      <c r="I8" t="s">
        <v>31</v>
      </c>
      <c r="J8">
        <v>102000</v>
      </c>
      <c r="K8">
        <v>93500</v>
      </c>
    </row>
    <row r="9" spans="1:14">
      <c r="A9" t="s">
        <v>10</v>
      </c>
      <c r="B9">
        <v>23</v>
      </c>
      <c r="C9">
        <v>98.37877671333824</v>
      </c>
      <c r="E9" t="s">
        <v>22</v>
      </c>
      <c r="F9">
        <v>85400</v>
      </c>
      <c r="G9">
        <v>85400</v>
      </c>
      <c r="I9" t="s">
        <v>32</v>
      </c>
      <c r="J9">
        <v>102000</v>
      </c>
      <c r="K9">
        <v>93500</v>
      </c>
    </row>
    <row r="10" spans="1:14">
      <c r="A10" t="s">
        <v>11</v>
      </c>
      <c r="B10">
        <v>22</v>
      </c>
      <c r="C10">
        <v>100</v>
      </c>
      <c r="E10" t="s">
        <v>23</v>
      </c>
      <c r="F10">
        <v>641598</v>
      </c>
      <c r="G10">
        <v>523725</v>
      </c>
      <c r="I10" t="s">
        <v>33</v>
      </c>
      <c r="J10">
        <v>144000</v>
      </c>
      <c r="K10">
        <v>132000</v>
      </c>
    </row>
    <row r="11" spans="1:14">
      <c r="E11" t="s">
        <v>24</v>
      </c>
      <c r="F11">
        <v>3000</v>
      </c>
      <c r="G11">
        <v>0</v>
      </c>
      <c r="I11" t="s">
        <v>34</v>
      </c>
      <c r="J11">
        <v>144000</v>
      </c>
      <c r="K11">
        <v>132000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Z5"/>
  <sheetViews>
    <sheetView showGridLines="0" workbookViewId="0"/>
  </sheetViews>
  <sheetFormatPr defaultRowHeight="15"/>
  <cols>
    <col min="1" max="26" width="15.7109375" style="2" customWidth="1"/>
  </cols>
  <sheetData>
    <row r="2" spans="2:10">
      <c r="B2" s="3" t="s">
        <v>39</v>
      </c>
    </row>
    <row r="4" spans="2:10">
      <c r="B4" s="4" t="s">
        <v>40</v>
      </c>
      <c r="D4" s="4" t="s">
        <v>37</v>
      </c>
      <c r="F4" s="4" t="s">
        <v>41</v>
      </c>
      <c r="H4" s="4" t="s">
        <v>42</v>
      </c>
      <c r="J4" s="4" t="s">
        <v>43</v>
      </c>
    </row>
    <row r="5" spans="2:10">
      <c r="B5" s="5">
        <v>916698</v>
      </c>
      <c r="D5" s="5">
        <v>783425</v>
      </c>
      <c r="F5" s="5">
        <v>133273</v>
      </c>
      <c r="H5" s="6">
        <v>1357</v>
      </c>
      <c r="J5" s="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Backend_Data</vt:lpstr>
      <vt:lpstr>Master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2026-05-26T13:58:51Z</dcterms:created>
  <dcterms:modified xsi:type="dcterms:W3CDTF">2026-05-26T13:58:51Z</dcterms:modified>
</cp:coreProperties>
</file>